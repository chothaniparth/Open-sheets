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Summary" state="visible" r:id="rId5"/>
    <sheet sheetId="3" name="_opensheets_meta" state="veryHidden" r:id="rId6"/>
  </sheets>
  <calcPr calcId="171027"/>
</workbook>
</file>

<file path=xl/sharedStrings.xml><?xml version="1.0" encoding="utf-8"?>
<sst xmlns="http://schemas.openxmlformats.org/spreadsheetml/2006/main" count="234" uniqueCount="22">
  <si>
    <t>Month</t>
  </si>
  <si>
    <t>Region</t>
  </si>
  <si>
    <t>Product</t>
  </si>
  <si>
    <t>Units</t>
  </si>
  <si>
    <t>Price</t>
  </si>
  <si>
    <t>Revenue</t>
  </si>
  <si>
    <t>Date</t>
  </si>
  <si>
    <t>Jan</t>
  </si>
  <si>
    <t>North</t>
  </si>
  <si>
    <t>Notebook</t>
  </si>
  <si>
    <t>Pen set</t>
  </si>
  <si>
    <t>Desk lamp</t>
  </si>
  <si>
    <t>South</t>
  </si>
  <si>
    <t>East</t>
  </si>
  <si>
    <t>West</t>
  </si>
  <si>
    <t>Feb</t>
  </si>
  <si>
    <t>Mar</t>
  </si>
  <si>
    <t>Apr</t>
  </si>
  <si>
    <t>May</t>
  </si>
  <si>
    <t>Jun</t>
  </si>
  <si>
    <t>Total</t>
  </si>
  <si>
    <t>{"version":1,"dashboards":[{"kind":"dashboard","id":"dmvqdh6qn2","name":"Overview","widgets":[{"type":"kpi","w":3,"h":2,"title":"Total revenue","kpi":{"formula":"=SUM(Sales!F:F)","fmt":"$#,##0"},"id":"wmvqdh6qn3","x":0,"y":0},{"type":"kpi","w":3,"h":2,"title":"Units sold","kpi":{"formula":"=SUM(Sales!D:D)","fmt":"#,##0"},"id":"wmvqdh6qn4","x":3,"y":0},{"type":"kpi","w":3,"h":2,"title":"Avg. price","kpi":{"formula":"=AVERAGE(Sales!E:E)","fmt":"$#,##0.00"},"id":"wmvqdh6qn5","x":6,"y":0},{"type":"kpi","w":3,"h":2,"title":"Best region","kpi":{"formula":"=INDEX(Summary!A2:A5,MATCH(MAX(Summary!B2:B5),Summary!B2:B5,0))"},"id":"wmvqdh6qn6","x":9,"y":0},{"type":"chart","w":7,"h":5,"title":"Revenue by region","chart":{"type":"column","range":"Summary!A1:B5","seriesBy":"columns","headers":true,"legend":false},"id":"wmvqdh6qn7","x":0,"y":2},{"type":"chart","w":5,"h":5,"title":"Units by region","chart":{"type":"doughnut","range":"Summary!E1:F5","seriesBy":"columns","headers":true,"legend":true},"id":"wmvqdh6qn8","x":7,"y":2},{"type":"table","w":12,"h":4,"title":"Summary","table":{"range":"Summary!A1:C6"},"id":"wmvqdh6qn9","x":0,"y":7}]}],"order":["Sales","Summary","Overview"],"cond":{},"tabColors":{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</si>
</sst>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yyyy-mm-dd"/>
    <numFmt numFmtId="166" formatCode="$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6" fontId="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5" width="10" customWidth="1"/>
    <col min="6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45</v>
      </c>
      <c r="E2" s="4">
        <v>12.5</v>
      </c>
      <c r="F2" s="4">
        <f>D2*E2</f>
        <v>562.5</v>
      </c>
      <c r="G2" s="5">
        <v>46037</v>
      </c>
    </row>
    <row r="3" spans="1:7" x14ac:dyDescent="0.25">
      <c r="A3" t="s">
        <v>7</v>
      </c>
      <c r="B3" t="s">
        <v>8</v>
      </c>
      <c r="C3" t="s">
        <v>10</v>
      </c>
      <c r="D3">
        <v>58</v>
      </c>
      <c r="E3" s="4">
        <v>8</v>
      </c>
      <c r="F3" s="4">
        <f>D3*E3</f>
        <v>464</v>
      </c>
      <c r="G3" s="5">
        <v>46037</v>
      </c>
    </row>
    <row r="4" spans="1:7" x14ac:dyDescent="0.25">
      <c r="A4" t="s">
        <v>7</v>
      </c>
      <c r="B4" t="s">
        <v>8</v>
      </c>
      <c r="C4" t="s">
        <v>11</v>
      </c>
      <c r="D4">
        <v>71</v>
      </c>
      <c r="E4" s="4">
        <v>39</v>
      </c>
      <c r="F4" s="4">
        <f>D4*E4</f>
        <v>2769</v>
      </c>
      <c r="G4" s="5">
        <v>46037</v>
      </c>
    </row>
    <row r="5" spans="1:7" x14ac:dyDescent="0.25">
      <c r="A5" t="s">
        <v>7</v>
      </c>
      <c r="B5" t="s">
        <v>12</v>
      </c>
      <c r="C5" t="s">
        <v>9</v>
      </c>
      <c r="D5">
        <v>45</v>
      </c>
      <c r="E5" s="4">
        <v>12.5</v>
      </c>
      <c r="F5" s="4">
        <f>D5*E5</f>
        <v>562.5</v>
      </c>
      <c r="G5" s="5">
        <v>46037</v>
      </c>
    </row>
    <row r="6" spans="1:7" x14ac:dyDescent="0.25">
      <c r="A6" t="s">
        <v>7</v>
      </c>
      <c r="B6" t="s">
        <v>12</v>
      </c>
      <c r="C6" t="s">
        <v>10</v>
      </c>
      <c r="D6">
        <v>58</v>
      </c>
      <c r="E6" s="4">
        <v>8</v>
      </c>
      <c r="F6" s="4">
        <f>D6*E6</f>
        <v>464</v>
      </c>
      <c r="G6" s="5">
        <v>46037</v>
      </c>
    </row>
    <row r="7" spans="1:7" x14ac:dyDescent="0.25">
      <c r="A7" t="s">
        <v>7</v>
      </c>
      <c r="B7" t="s">
        <v>12</v>
      </c>
      <c r="C7" t="s">
        <v>11</v>
      </c>
      <c r="D7">
        <v>71</v>
      </c>
      <c r="E7" s="4">
        <v>39</v>
      </c>
      <c r="F7" s="4">
        <f>D7*E7</f>
        <v>2769</v>
      </c>
      <c r="G7" s="5">
        <v>46037</v>
      </c>
    </row>
    <row r="8" spans="1:7" x14ac:dyDescent="0.25">
      <c r="A8" t="s">
        <v>7</v>
      </c>
      <c r="B8" t="s">
        <v>13</v>
      </c>
      <c r="C8" t="s">
        <v>9</v>
      </c>
      <c r="D8">
        <v>40</v>
      </c>
      <c r="E8" s="4">
        <v>12.5</v>
      </c>
      <c r="F8" s="4">
        <f>D8*E8</f>
        <v>500</v>
      </c>
      <c r="G8" s="5">
        <v>46037</v>
      </c>
    </row>
    <row r="9" spans="1:7" x14ac:dyDescent="0.25">
      <c r="A9" t="s">
        <v>7</v>
      </c>
      <c r="B9" t="s">
        <v>13</v>
      </c>
      <c r="C9" t="s">
        <v>10</v>
      </c>
      <c r="D9">
        <v>53</v>
      </c>
      <c r="E9" s="4">
        <v>8</v>
      </c>
      <c r="F9" s="4">
        <f>D9*E9</f>
        <v>424</v>
      </c>
      <c r="G9" s="5">
        <v>46037</v>
      </c>
    </row>
    <row r="10" spans="1:7" x14ac:dyDescent="0.25">
      <c r="A10" t="s">
        <v>7</v>
      </c>
      <c r="B10" t="s">
        <v>13</v>
      </c>
      <c r="C10" t="s">
        <v>11</v>
      </c>
      <c r="D10">
        <v>66</v>
      </c>
      <c r="E10" s="4">
        <v>39</v>
      </c>
      <c r="F10" s="4">
        <f>D10*E10</f>
        <v>2574</v>
      </c>
      <c r="G10" s="5">
        <v>46037</v>
      </c>
    </row>
    <row r="11" spans="1:7" x14ac:dyDescent="0.25">
      <c r="A11" t="s">
        <v>7</v>
      </c>
      <c r="B11" t="s">
        <v>14</v>
      </c>
      <c r="C11" t="s">
        <v>9</v>
      </c>
      <c r="D11">
        <v>40</v>
      </c>
      <c r="E11" s="4">
        <v>12.5</v>
      </c>
      <c r="F11" s="4">
        <f>D11*E11</f>
        <v>500</v>
      </c>
      <c r="G11" s="5">
        <v>46037</v>
      </c>
    </row>
    <row r="12" spans="1:7" x14ac:dyDescent="0.25">
      <c r="A12" t="s">
        <v>7</v>
      </c>
      <c r="B12" t="s">
        <v>14</v>
      </c>
      <c r="C12" t="s">
        <v>10</v>
      </c>
      <c r="D12">
        <v>53</v>
      </c>
      <c r="E12" s="4">
        <v>8</v>
      </c>
      <c r="F12" s="4">
        <f>D12*E12</f>
        <v>424</v>
      </c>
      <c r="G12" s="5">
        <v>46037</v>
      </c>
    </row>
    <row r="13" spans="1:7" x14ac:dyDescent="0.25">
      <c r="A13" t="s">
        <v>7</v>
      </c>
      <c r="B13" t="s">
        <v>14</v>
      </c>
      <c r="C13" t="s">
        <v>11</v>
      </c>
      <c r="D13">
        <v>66</v>
      </c>
      <c r="E13" s="4">
        <v>39</v>
      </c>
      <c r="F13" s="4">
        <f>D13*E13</f>
        <v>2574</v>
      </c>
      <c r="G13" s="5">
        <v>46037</v>
      </c>
    </row>
    <row r="14" spans="1:7" x14ac:dyDescent="0.25">
      <c r="A14" t="s">
        <v>15</v>
      </c>
      <c r="B14" t="s">
        <v>8</v>
      </c>
      <c r="C14" t="s">
        <v>9</v>
      </c>
      <c r="D14">
        <v>52</v>
      </c>
      <c r="E14" s="4">
        <v>12.5</v>
      </c>
      <c r="F14" s="4">
        <f>D14*E14</f>
        <v>650</v>
      </c>
      <c r="G14" s="5">
        <v>46068</v>
      </c>
    </row>
    <row r="15" spans="1:7" x14ac:dyDescent="0.25">
      <c r="A15" t="s">
        <v>15</v>
      </c>
      <c r="B15" t="s">
        <v>8</v>
      </c>
      <c r="C15" t="s">
        <v>10</v>
      </c>
      <c r="D15">
        <v>65</v>
      </c>
      <c r="E15" s="4">
        <v>8</v>
      </c>
      <c r="F15" s="4">
        <f>D15*E15</f>
        <v>520</v>
      </c>
      <c r="G15" s="5">
        <v>46068</v>
      </c>
    </row>
    <row r="16" spans="1:7" x14ac:dyDescent="0.25">
      <c r="A16" t="s">
        <v>15</v>
      </c>
      <c r="B16" t="s">
        <v>8</v>
      </c>
      <c r="C16" t="s">
        <v>11</v>
      </c>
      <c r="D16">
        <v>78</v>
      </c>
      <c r="E16" s="4">
        <v>39</v>
      </c>
      <c r="F16" s="4">
        <f>D16*E16</f>
        <v>3042</v>
      </c>
      <c r="G16" s="5">
        <v>46068</v>
      </c>
    </row>
    <row r="17" spans="1:7" x14ac:dyDescent="0.25">
      <c r="A17" t="s">
        <v>15</v>
      </c>
      <c r="B17" t="s">
        <v>12</v>
      </c>
      <c r="C17" t="s">
        <v>9</v>
      </c>
      <c r="D17">
        <v>52</v>
      </c>
      <c r="E17" s="4">
        <v>12.5</v>
      </c>
      <c r="F17" s="4">
        <f>D17*E17</f>
        <v>650</v>
      </c>
      <c r="G17" s="5">
        <v>46068</v>
      </c>
    </row>
    <row r="18" spans="1:7" x14ac:dyDescent="0.25">
      <c r="A18" t="s">
        <v>15</v>
      </c>
      <c r="B18" t="s">
        <v>12</v>
      </c>
      <c r="C18" t="s">
        <v>10</v>
      </c>
      <c r="D18">
        <v>65</v>
      </c>
      <c r="E18" s="4">
        <v>8</v>
      </c>
      <c r="F18" s="4">
        <f>D18*E18</f>
        <v>520</v>
      </c>
      <c r="G18" s="5">
        <v>46068</v>
      </c>
    </row>
    <row r="19" spans="1:7" x14ac:dyDescent="0.25">
      <c r="A19" t="s">
        <v>15</v>
      </c>
      <c r="B19" t="s">
        <v>12</v>
      </c>
      <c r="C19" t="s">
        <v>11</v>
      </c>
      <c r="D19">
        <v>78</v>
      </c>
      <c r="E19" s="4">
        <v>39</v>
      </c>
      <c r="F19" s="4">
        <f>D19*E19</f>
        <v>3042</v>
      </c>
      <c r="G19" s="5">
        <v>46068</v>
      </c>
    </row>
    <row r="20" spans="1:7" x14ac:dyDescent="0.25">
      <c r="A20" t="s">
        <v>15</v>
      </c>
      <c r="B20" t="s">
        <v>13</v>
      </c>
      <c r="C20" t="s">
        <v>9</v>
      </c>
      <c r="D20">
        <v>47</v>
      </c>
      <c r="E20" s="4">
        <v>12.5</v>
      </c>
      <c r="F20" s="4">
        <f>D20*E20</f>
        <v>587.5</v>
      </c>
      <c r="G20" s="5">
        <v>46068</v>
      </c>
    </row>
    <row r="21" spans="1:7" x14ac:dyDescent="0.25">
      <c r="A21" t="s">
        <v>15</v>
      </c>
      <c r="B21" t="s">
        <v>13</v>
      </c>
      <c r="C21" t="s">
        <v>10</v>
      </c>
      <c r="D21">
        <v>60</v>
      </c>
      <c r="E21" s="4">
        <v>8</v>
      </c>
      <c r="F21" s="4">
        <f>D21*E21</f>
        <v>480</v>
      </c>
      <c r="G21" s="5">
        <v>46068</v>
      </c>
    </row>
    <row r="22" spans="1:7" x14ac:dyDescent="0.25">
      <c r="A22" t="s">
        <v>15</v>
      </c>
      <c r="B22" t="s">
        <v>13</v>
      </c>
      <c r="C22" t="s">
        <v>11</v>
      </c>
      <c r="D22">
        <v>73</v>
      </c>
      <c r="E22" s="4">
        <v>39</v>
      </c>
      <c r="F22" s="4">
        <f>D22*E22</f>
        <v>2847</v>
      </c>
      <c r="G22" s="5">
        <v>46068</v>
      </c>
    </row>
    <row r="23" spans="1:7" x14ac:dyDescent="0.25">
      <c r="A23" t="s">
        <v>15</v>
      </c>
      <c r="B23" t="s">
        <v>14</v>
      </c>
      <c r="C23" t="s">
        <v>9</v>
      </c>
      <c r="D23">
        <v>47</v>
      </c>
      <c r="E23" s="4">
        <v>12.5</v>
      </c>
      <c r="F23" s="4">
        <f>D23*E23</f>
        <v>587.5</v>
      </c>
      <c r="G23" s="5">
        <v>46068</v>
      </c>
    </row>
    <row r="24" spans="1:7" x14ac:dyDescent="0.25">
      <c r="A24" t="s">
        <v>15</v>
      </c>
      <c r="B24" t="s">
        <v>14</v>
      </c>
      <c r="C24" t="s">
        <v>10</v>
      </c>
      <c r="D24">
        <v>60</v>
      </c>
      <c r="E24" s="4">
        <v>8</v>
      </c>
      <c r="F24" s="4">
        <f>D24*E24</f>
        <v>480</v>
      </c>
      <c r="G24" s="5">
        <v>46068</v>
      </c>
    </row>
    <row r="25" spans="1:7" x14ac:dyDescent="0.25">
      <c r="A25" t="s">
        <v>15</v>
      </c>
      <c r="B25" t="s">
        <v>14</v>
      </c>
      <c r="C25" t="s">
        <v>11</v>
      </c>
      <c r="D25">
        <v>73</v>
      </c>
      <c r="E25" s="4">
        <v>39</v>
      </c>
      <c r="F25" s="4">
        <f>D25*E25</f>
        <v>2847</v>
      </c>
      <c r="G25" s="5">
        <v>46068</v>
      </c>
    </row>
    <row r="26" spans="1:7" x14ac:dyDescent="0.25">
      <c r="A26" t="s">
        <v>16</v>
      </c>
      <c r="B26" t="s">
        <v>8</v>
      </c>
      <c r="C26" t="s">
        <v>9</v>
      </c>
      <c r="D26">
        <v>59</v>
      </c>
      <c r="E26" s="4">
        <v>12.5</v>
      </c>
      <c r="F26" s="4">
        <f>D26*E26</f>
        <v>737.5</v>
      </c>
      <c r="G26" s="5">
        <v>46096</v>
      </c>
    </row>
    <row r="27" spans="1:7" x14ac:dyDescent="0.25">
      <c r="A27" t="s">
        <v>16</v>
      </c>
      <c r="B27" t="s">
        <v>8</v>
      </c>
      <c r="C27" t="s">
        <v>10</v>
      </c>
      <c r="D27">
        <v>72</v>
      </c>
      <c r="E27" s="4">
        <v>8</v>
      </c>
      <c r="F27" s="4">
        <f>D27*E27</f>
        <v>576</v>
      </c>
      <c r="G27" s="5">
        <v>46096</v>
      </c>
    </row>
    <row r="28" spans="1:7" x14ac:dyDescent="0.25">
      <c r="A28" t="s">
        <v>16</v>
      </c>
      <c r="B28" t="s">
        <v>8</v>
      </c>
      <c r="C28" t="s">
        <v>11</v>
      </c>
      <c r="D28">
        <v>25</v>
      </c>
      <c r="E28" s="4">
        <v>39</v>
      </c>
      <c r="F28" s="4">
        <f>D28*E28</f>
        <v>975</v>
      </c>
      <c r="G28" s="5">
        <v>46096</v>
      </c>
    </row>
    <row r="29" spans="1:7" x14ac:dyDescent="0.25">
      <c r="A29" t="s">
        <v>16</v>
      </c>
      <c r="B29" t="s">
        <v>12</v>
      </c>
      <c r="C29" t="s">
        <v>9</v>
      </c>
      <c r="D29">
        <v>59</v>
      </c>
      <c r="E29" s="4">
        <v>12.5</v>
      </c>
      <c r="F29" s="4">
        <f>D29*E29</f>
        <v>737.5</v>
      </c>
      <c r="G29" s="5">
        <v>46096</v>
      </c>
    </row>
    <row r="30" spans="1:7" x14ac:dyDescent="0.25">
      <c r="A30" t="s">
        <v>16</v>
      </c>
      <c r="B30" t="s">
        <v>12</v>
      </c>
      <c r="C30" t="s">
        <v>10</v>
      </c>
      <c r="D30">
        <v>72</v>
      </c>
      <c r="E30" s="4">
        <v>8</v>
      </c>
      <c r="F30" s="4">
        <f>D30*E30</f>
        <v>576</v>
      </c>
      <c r="G30" s="5">
        <v>46096</v>
      </c>
    </row>
    <row r="31" spans="1:7" x14ac:dyDescent="0.25">
      <c r="A31" t="s">
        <v>16</v>
      </c>
      <c r="B31" t="s">
        <v>12</v>
      </c>
      <c r="C31" t="s">
        <v>11</v>
      </c>
      <c r="D31">
        <v>25</v>
      </c>
      <c r="E31" s="4">
        <v>39</v>
      </c>
      <c r="F31" s="4">
        <f>D31*E31</f>
        <v>975</v>
      </c>
      <c r="G31" s="5">
        <v>46096</v>
      </c>
    </row>
    <row r="32" spans="1:7" x14ac:dyDescent="0.25">
      <c r="A32" t="s">
        <v>16</v>
      </c>
      <c r="B32" t="s">
        <v>13</v>
      </c>
      <c r="C32" t="s">
        <v>9</v>
      </c>
      <c r="D32">
        <v>54</v>
      </c>
      <c r="E32" s="4">
        <v>12.5</v>
      </c>
      <c r="F32" s="4">
        <f>D32*E32</f>
        <v>675</v>
      </c>
      <c r="G32" s="5">
        <v>46096</v>
      </c>
    </row>
    <row r="33" spans="1:7" x14ac:dyDescent="0.25">
      <c r="A33" t="s">
        <v>16</v>
      </c>
      <c r="B33" t="s">
        <v>13</v>
      </c>
      <c r="C33" t="s">
        <v>10</v>
      </c>
      <c r="D33">
        <v>67</v>
      </c>
      <c r="E33" s="4">
        <v>8</v>
      </c>
      <c r="F33" s="4">
        <f>D33*E33</f>
        <v>536</v>
      </c>
      <c r="G33" s="5">
        <v>46096</v>
      </c>
    </row>
    <row r="34" spans="1:7" x14ac:dyDescent="0.25">
      <c r="A34" t="s">
        <v>16</v>
      </c>
      <c r="B34" t="s">
        <v>13</v>
      </c>
      <c r="C34" t="s">
        <v>11</v>
      </c>
      <c r="D34">
        <v>20</v>
      </c>
      <c r="E34" s="4">
        <v>39</v>
      </c>
      <c r="F34" s="4">
        <f>D34*E34</f>
        <v>780</v>
      </c>
      <c r="G34" s="5">
        <v>46096</v>
      </c>
    </row>
    <row r="35" spans="1:7" x14ac:dyDescent="0.25">
      <c r="A35" t="s">
        <v>16</v>
      </c>
      <c r="B35" t="s">
        <v>14</v>
      </c>
      <c r="C35" t="s">
        <v>9</v>
      </c>
      <c r="D35">
        <v>54</v>
      </c>
      <c r="E35" s="4">
        <v>12.5</v>
      </c>
      <c r="F35" s="4">
        <f>D35*E35</f>
        <v>675</v>
      </c>
      <c r="G35" s="5">
        <v>46096</v>
      </c>
    </row>
    <row r="36" spans="1:7" x14ac:dyDescent="0.25">
      <c r="A36" t="s">
        <v>16</v>
      </c>
      <c r="B36" t="s">
        <v>14</v>
      </c>
      <c r="C36" t="s">
        <v>10</v>
      </c>
      <c r="D36">
        <v>67</v>
      </c>
      <c r="E36" s="4">
        <v>8</v>
      </c>
      <c r="F36" s="4">
        <f>D36*E36</f>
        <v>536</v>
      </c>
      <c r="G36" s="5">
        <v>46096</v>
      </c>
    </row>
    <row r="37" spans="1:7" x14ac:dyDescent="0.25">
      <c r="A37" t="s">
        <v>16</v>
      </c>
      <c r="B37" t="s">
        <v>14</v>
      </c>
      <c r="C37" t="s">
        <v>11</v>
      </c>
      <c r="D37">
        <v>20</v>
      </c>
      <c r="E37" s="4">
        <v>39</v>
      </c>
      <c r="F37" s="4">
        <f>D37*E37</f>
        <v>780</v>
      </c>
      <c r="G37" s="5">
        <v>46096</v>
      </c>
    </row>
    <row r="38" spans="1:7" x14ac:dyDescent="0.25">
      <c r="A38" t="s">
        <v>17</v>
      </c>
      <c r="B38" t="s">
        <v>8</v>
      </c>
      <c r="C38" t="s">
        <v>9</v>
      </c>
      <c r="D38">
        <v>66</v>
      </c>
      <c r="E38" s="4">
        <v>12.5</v>
      </c>
      <c r="F38" s="4">
        <f>D38*E38</f>
        <v>825</v>
      </c>
      <c r="G38" s="5">
        <v>46127</v>
      </c>
    </row>
    <row r="39" spans="1:7" x14ac:dyDescent="0.25">
      <c r="A39" t="s">
        <v>17</v>
      </c>
      <c r="B39" t="s">
        <v>8</v>
      </c>
      <c r="C39" t="s">
        <v>10</v>
      </c>
      <c r="D39">
        <v>79</v>
      </c>
      <c r="E39" s="4">
        <v>8</v>
      </c>
      <c r="F39" s="4">
        <f>D39*E39</f>
        <v>632</v>
      </c>
      <c r="G39" s="5">
        <v>46127</v>
      </c>
    </row>
    <row r="40" spans="1:7" x14ac:dyDescent="0.25">
      <c r="A40" t="s">
        <v>17</v>
      </c>
      <c r="B40" t="s">
        <v>8</v>
      </c>
      <c r="C40" t="s">
        <v>11</v>
      </c>
      <c r="D40">
        <v>32</v>
      </c>
      <c r="E40" s="4">
        <v>39</v>
      </c>
      <c r="F40" s="4">
        <f>D40*E40</f>
        <v>1248</v>
      </c>
      <c r="G40" s="5">
        <v>46127</v>
      </c>
    </row>
    <row r="41" spans="1:7" x14ac:dyDescent="0.25">
      <c r="A41" t="s">
        <v>17</v>
      </c>
      <c r="B41" t="s">
        <v>12</v>
      </c>
      <c r="C41" t="s">
        <v>9</v>
      </c>
      <c r="D41">
        <v>66</v>
      </c>
      <c r="E41" s="4">
        <v>12.5</v>
      </c>
      <c r="F41" s="4">
        <f>D41*E41</f>
        <v>825</v>
      </c>
      <c r="G41" s="5">
        <v>46127</v>
      </c>
    </row>
    <row r="42" spans="1:7" x14ac:dyDescent="0.25">
      <c r="A42" t="s">
        <v>17</v>
      </c>
      <c r="B42" t="s">
        <v>12</v>
      </c>
      <c r="C42" t="s">
        <v>10</v>
      </c>
      <c r="D42">
        <v>79</v>
      </c>
      <c r="E42" s="4">
        <v>8</v>
      </c>
      <c r="F42" s="4">
        <f>D42*E42</f>
        <v>632</v>
      </c>
      <c r="G42" s="5">
        <v>46127</v>
      </c>
    </row>
    <row r="43" spans="1:7" x14ac:dyDescent="0.25">
      <c r="A43" t="s">
        <v>17</v>
      </c>
      <c r="B43" t="s">
        <v>12</v>
      </c>
      <c r="C43" t="s">
        <v>11</v>
      </c>
      <c r="D43">
        <v>32</v>
      </c>
      <c r="E43" s="4">
        <v>39</v>
      </c>
      <c r="F43" s="4">
        <f>D43*E43</f>
        <v>1248</v>
      </c>
      <c r="G43" s="5">
        <v>46127</v>
      </c>
    </row>
    <row r="44" spans="1:7" x14ac:dyDescent="0.25">
      <c r="A44" t="s">
        <v>17</v>
      </c>
      <c r="B44" t="s">
        <v>13</v>
      </c>
      <c r="C44" t="s">
        <v>9</v>
      </c>
      <c r="D44">
        <v>61</v>
      </c>
      <c r="E44" s="4">
        <v>12.5</v>
      </c>
      <c r="F44" s="4">
        <f>D44*E44</f>
        <v>762.5</v>
      </c>
      <c r="G44" s="5">
        <v>46127</v>
      </c>
    </row>
    <row r="45" spans="1:7" x14ac:dyDescent="0.25">
      <c r="A45" t="s">
        <v>17</v>
      </c>
      <c r="B45" t="s">
        <v>13</v>
      </c>
      <c r="C45" t="s">
        <v>10</v>
      </c>
      <c r="D45">
        <v>74</v>
      </c>
      <c r="E45" s="4">
        <v>8</v>
      </c>
      <c r="F45" s="4">
        <f>D45*E45</f>
        <v>592</v>
      </c>
      <c r="G45" s="5">
        <v>46127</v>
      </c>
    </row>
    <row r="46" spans="1:7" x14ac:dyDescent="0.25">
      <c r="A46" t="s">
        <v>17</v>
      </c>
      <c r="B46" t="s">
        <v>13</v>
      </c>
      <c r="C46" t="s">
        <v>11</v>
      </c>
      <c r="D46">
        <v>27</v>
      </c>
      <c r="E46" s="4">
        <v>39</v>
      </c>
      <c r="F46" s="4">
        <f>D46*E46</f>
        <v>1053</v>
      </c>
      <c r="G46" s="5">
        <v>46127</v>
      </c>
    </row>
    <row r="47" spans="1:7" x14ac:dyDescent="0.25">
      <c r="A47" t="s">
        <v>17</v>
      </c>
      <c r="B47" t="s">
        <v>14</v>
      </c>
      <c r="C47" t="s">
        <v>9</v>
      </c>
      <c r="D47">
        <v>61</v>
      </c>
      <c r="E47" s="4">
        <v>12.5</v>
      </c>
      <c r="F47" s="4">
        <f>D47*E47</f>
        <v>762.5</v>
      </c>
      <c r="G47" s="5">
        <v>46127</v>
      </c>
    </row>
    <row r="48" spans="1:7" x14ac:dyDescent="0.25">
      <c r="A48" t="s">
        <v>17</v>
      </c>
      <c r="B48" t="s">
        <v>14</v>
      </c>
      <c r="C48" t="s">
        <v>10</v>
      </c>
      <c r="D48">
        <v>74</v>
      </c>
      <c r="E48" s="4">
        <v>8</v>
      </c>
      <c r="F48" s="4">
        <f>D48*E48</f>
        <v>592</v>
      </c>
      <c r="G48" s="5">
        <v>46127</v>
      </c>
    </row>
    <row r="49" spans="1:7" x14ac:dyDescent="0.25">
      <c r="A49" t="s">
        <v>17</v>
      </c>
      <c r="B49" t="s">
        <v>14</v>
      </c>
      <c r="C49" t="s">
        <v>11</v>
      </c>
      <c r="D49">
        <v>27</v>
      </c>
      <c r="E49" s="4">
        <v>39</v>
      </c>
      <c r="F49" s="4">
        <f>D49*E49</f>
        <v>1053</v>
      </c>
      <c r="G49" s="5">
        <v>46127</v>
      </c>
    </row>
    <row r="50" spans="1:7" x14ac:dyDescent="0.25">
      <c r="A50" t="s">
        <v>18</v>
      </c>
      <c r="B50" t="s">
        <v>8</v>
      </c>
      <c r="C50" t="s">
        <v>9</v>
      </c>
      <c r="D50">
        <v>73</v>
      </c>
      <c r="E50" s="4">
        <v>12.5</v>
      </c>
      <c r="F50" s="4">
        <f>D50*E50</f>
        <v>912.5</v>
      </c>
      <c r="G50" s="5">
        <v>46157</v>
      </c>
    </row>
    <row r="51" spans="1:7" x14ac:dyDescent="0.25">
      <c r="A51" t="s">
        <v>18</v>
      </c>
      <c r="B51" t="s">
        <v>8</v>
      </c>
      <c r="C51" t="s">
        <v>10</v>
      </c>
      <c r="D51">
        <v>26</v>
      </c>
      <c r="E51" s="4">
        <v>8</v>
      </c>
      <c r="F51" s="4">
        <f>D51*E51</f>
        <v>208</v>
      </c>
      <c r="G51" s="5">
        <v>46157</v>
      </c>
    </row>
    <row r="52" spans="1:7" x14ac:dyDescent="0.25">
      <c r="A52" t="s">
        <v>18</v>
      </c>
      <c r="B52" t="s">
        <v>8</v>
      </c>
      <c r="C52" t="s">
        <v>11</v>
      </c>
      <c r="D52">
        <v>39</v>
      </c>
      <c r="E52" s="4">
        <v>39</v>
      </c>
      <c r="F52" s="4">
        <f>D52*E52</f>
        <v>1521</v>
      </c>
      <c r="G52" s="5">
        <v>46157</v>
      </c>
    </row>
    <row r="53" spans="1:7" x14ac:dyDescent="0.25">
      <c r="A53" t="s">
        <v>18</v>
      </c>
      <c r="B53" t="s">
        <v>12</v>
      </c>
      <c r="C53" t="s">
        <v>9</v>
      </c>
      <c r="D53">
        <v>73</v>
      </c>
      <c r="E53" s="4">
        <v>12.5</v>
      </c>
      <c r="F53" s="4">
        <f>D53*E53</f>
        <v>912.5</v>
      </c>
      <c r="G53" s="5">
        <v>46157</v>
      </c>
    </row>
    <row r="54" spans="1:7" x14ac:dyDescent="0.25">
      <c r="A54" t="s">
        <v>18</v>
      </c>
      <c r="B54" t="s">
        <v>12</v>
      </c>
      <c r="C54" t="s">
        <v>10</v>
      </c>
      <c r="D54">
        <v>26</v>
      </c>
      <c r="E54" s="4">
        <v>8</v>
      </c>
      <c r="F54" s="4">
        <f>D54*E54</f>
        <v>208</v>
      </c>
      <c r="G54" s="5">
        <v>46157</v>
      </c>
    </row>
    <row r="55" spans="1:7" x14ac:dyDescent="0.25">
      <c r="A55" t="s">
        <v>18</v>
      </c>
      <c r="B55" t="s">
        <v>12</v>
      </c>
      <c r="C55" t="s">
        <v>11</v>
      </c>
      <c r="D55">
        <v>39</v>
      </c>
      <c r="E55" s="4">
        <v>39</v>
      </c>
      <c r="F55" s="4">
        <f>D55*E55</f>
        <v>1521</v>
      </c>
      <c r="G55" s="5">
        <v>46157</v>
      </c>
    </row>
    <row r="56" spans="1:7" x14ac:dyDescent="0.25">
      <c r="A56" t="s">
        <v>18</v>
      </c>
      <c r="B56" t="s">
        <v>13</v>
      </c>
      <c r="C56" t="s">
        <v>9</v>
      </c>
      <c r="D56">
        <v>68</v>
      </c>
      <c r="E56" s="4">
        <v>12.5</v>
      </c>
      <c r="F56" s="4">
        <f>D56*E56</f>
        <v>850</v>
      </c>
      <c r="G56" s="5">
        <v>46157</v>
      </c>
    </row>
    <row r="57" spans="1:7" x14ac:dyDescent="0.25">
      <c r="A57" t="s">
        <v>18</v>
      </c>
      <c r="B57" t="s">
        <v>13</v>
      </c>
      <c r="C57" t="s">
        <v>10</v>
      </c>
      <c r="D57">
        <v>21</v>
      </c>
      <c r="E57" s="4">
        <v>8</v>
      </c>
      <c r="F57" s="4">
        <f>D57*E57</f>
        <v>168</v>
      </c>
      <c r="G57" s="5">
        <v>46157</v>
      </c>
    </row>
    <row r="58" spans="1:7" x14ac:dyDescent="0.25">
      <c r="A58" t="s">
        <v>18</v>
      </c>
      <c r="B58" t="s">
        <v>13</v>
      </c>
      <c r="C58" t="s">
        <v>11</v>
      </c>
      <c r="D58">
        <v>34</v>
      </c>
      <c r="E58" s="4">
        <v>39</v>
      </c>
      <c r="F58" s="4">
        <f>D58*E58</f>
        <v>1326</v>
      </c>
      <c r="G58" s="5">
        <v>46157</v>
      </c>
    </row>
    <row r="59" spans="1:7" x14ac:dyDescent="0.25">
      <c r="A59" t="s">
        <v>18</v>
      </c>
      <c r="B59" t="s">
        <v>14</v>
      </c>
      <c r="C59" t="s">
        <v>9</v>
      </c>
      <c r="D59">
        <v>68</v>
      </c>
      <c r="E59" s="4">
        <v>12.5</v>
      </c>
      <c r="F59" s="4">
        <f>D59*E59</f>
        <v>850</v>
      </c>
      <c r="G59" s="5">
        <v>46157</v>
      </c>
    </row>
    <row r="60" spans="1:7" x14ac:dyDescent="0.25">
      <c r="A60" t="s">
        <v>18</v>
      </c>
      <c r="B60" t="s">
        <v>14</v>
      </c>
      <c r="C60" t="s">
        <v>10</v>
      </c>
      <c r="D60">
        <v>21</v>
      </c>
      <c r="E60" s="4">
        <v>8</v>
      </c>
      <c r="F60" s="4">
        <f>D60*E60</f>
        <v>168</v>
      </c>
      <c r="G60" s="5">
        <v>46157</v>
      </c>
    </row>
    <row r="61" spans="1:7" x14ac:dyDescent="0.25">
      <c r="A61" t="s">
        <v>18</v>
      </c>
      <c r="B61" t="s">
        <v>14</v>
      </c>
      <c r="C61" t="s">
        <v>11</v>
      </c>
      <c r="D61">
        <v>34</v>
      </c>
      <c r="E61" s="4">
        <v>39</v>
      </c>
      <c r="F61" s="4">
        <f>D61*E61</f>
        <v>1326</v>
      </c>
      <c r="G61" s="5">
        <v>46157</v>
      </c>
    </row>
    <row r="62" spans="1:7" x14ac:dyDescent="0.25">
      <c r="A62" t="s">
        <v>19</v>
      </c>
      <c r="B62" t="s">
        <v>8</v>
      </c>
      <c r="C62" t="s">
        <v>9</v>
      </c>
      <c r="D62">
        <v>20</v>
      </c>
      <c r="E62" s="4">
        <v>12.5</v>
      </c>
      <c r="F62" s="4">
        <f>D62*E62</f>
        <v>250</v>
      </c>
      <c r="G62" s="5">
        <v>46188</v>
      </c>
    </row>
    <row r="63" spans="1:7" x14ac:dyDescent="0.25">
      <c r="A63" t="s">
        <v>19</v>
      </c>
      <c r="B63" t="s">
        <v>8</v>
      </c>
      <c r="C63" t="s">
        <v>10</v>
      </c>
      <c r="D63">
        <v>33</v>
      </c>
      <c r="E63" s="4">
        <v>8</v>
      </c>
      <c r="F63" s="4">
        <f>D63*E63</f>
        <v>264</v>
      </c>
      <c r="G63" s="5">
        <v>46188</v>
      </c>
    </row>
    <row r="64" spans="1:7" x14ac:dyDescent="0.25">
      <c r="A64" t="s">
        <v>19</v>
      </c>
      <c r="B64" t="s">
        <v>8</v>
      </c>
      <c r="C64" t="s">
        <v>11</v>
      </c>
      <c r="D64">
        <v>46</v>
      </c>
      <c r="E64" s="4">
        <v>39</v>
      </c>
      <c r="F64" s="4">
        <f>D64*E64</f>
        <v>1794</v>
      </c>
      <c r="G64" s="5">
        <v>46188</v>
      </c>
    </row>
    <row r="65" spans="1:7" x14ac:dyDescent="0.25">
      <c r="A65" t="s">
        <v>19</v>
      </c>
      <c r="B65" t="s">
        <v>12</v>
      </c>
      <c r="C65" t="s">
        <v>9</v>
      </c>
      <c r="D65">
        <v>20</v>
      </c>
      <c r="E65" s="4">
        <v>12.5</v>
      </c>
      <c r="F65" s="4">
        <f>D65*E65</f>
        <v>250</v>
      </c>
      <c r="G65" s="5">
        <v>46188</v>
      </c>
    </row>
    <row r="66" spans="1:7" x14ac:dyDescent="0.25">
      <c r="A66" t="s">
        <v>19</v>
      </c>
      <c r="B66" t="s">
        <v>12</v>
      </c>
      <c r="C66" t="s">
        <v>10</v>
      </c>
      <c r="D66">
        <v>33</v>
      </c>
      <c r="E66" s="4">
        <v>8</v>
      </c>
      <c r="F66" s="4">
        <f>D66*E66</f>
        <v>264</v>
      </c>
      <c r="G66" s="5">
        <v>46188</v>
      </c>
    </row>
    <row r="67" spans="1:7" x14ac:dyDescent="0.25">
      <c r="A67" t="s">
        <v>19</v>
      </c>
      <c r="B67" t="s">
        <v>12</v>
      </c>
      <c r="C67" t="s">
        <v>11</v>
      </c>
      <c r="D67">
        <v>46</v>
      </c>
      <c r="E67" s="4">
        <v>39</v>
      </c>
      <c r="F67" s="4">
        <f>D67*E67</f>
        <v>1794</v>
      </c>
      <c r="G67" s="5">
        <v>46188</v>
      </c>
    </row>
    <row r="68" spans="1:7" x14ac:dyDescent="0.25">
      <c r="A68" t="s">
        <v>19</v>
      </c>
      <c r="B68" t="s">
        <v>13</v>
      </c>
      <c r="C68" t="s">
        <v>9</v>
      </c>
      <c r="D68">
        <v>75</v>
      </c>
      <c r="E68" s="4">
        <v>12.5</v>
      </c>
      <c r="F68" s="4">
        <f>D68*E68</f>
        <v>937.5</v>
      </c>
      <c r="G68" s="5">
        <v>46188</v>
      </c>
    </row>
    <row r="69" spans="1:7" x14ac:dyDescent="0.25">
      <c r="A69" t="s">
        <v>19</v>
      </c>
      <c r="B69" t="s">
        <v>13</v>
      </c>
      <c r="C69" t="s">
        <v>10</v>
      </c>
      <c r="D69">
        <v>28</v>
      </c>
      <c r="E69" s="4">
        <v>8</v>
      </c>
      <c r="F69" s="4">
        <f>D69*E69</f>
        <v>224</v>
      </c>
      <c r="G69" s="5">
        <v>46188</v>
      </c>
    </row>
    <row r="70" spans="1:7" x14ac:dyDescent="0.25">
      <c r="A70" t="s">
        <v>19</v>
      </c>
      <c r="B70" t="s">
        <v>13</v>
      </c>
      <c r="C70" t="s">
        <v>11</v>
      </c>
      <c r="D70">
        <v>41</v>
      </c>
      <c r="E70" s="4">
        <v>39</v>
      </c>
      <c r="F70" s="4">
        <f>D70*E70</f>
        <v>1599</v>
      </c>
      <c r="G70" s="5">
        <v>46188</v>
      </c>
    </row>
    <row r="71" spans="1:7" x14ac:dyDescent="0.25">
      <c r="A71" t="s">
        <v>19</v>
      </c>
      <c r="B71" t="s">
        <v>14</v>
      </c>
      <c r="C71" t="s">
        <v>9</v>
      </c>
      <c r="D71">
        <v>75</v>
      </c>
      <c r="E71" s="4">
        <v>12.5</v>
      </c>
      <c r="F71" s="4">
        <f>D71*E71</f>
        <v>937.5</v>
      </c>
      <c r="G71" s="5">
        <v>46188</v>
      </c>
    </row>
    <row r="72" spans="1:7" x14ac:dyDescent="0.25">
      <c r="A72" t="s">
        <v>19</v>
      </c>
      <c r="B72" t="s">
        <v>14</v>
      </c>
      <c r="C72" t="s">
        <v>10</v>
      </c>
      <c r="D72">
        <v>28</v>
      </c>
      <c r="E72" s="4">
        <v>8</v>
      </c>
      <c r="F72" s="4">
        <f>D72*E72</f>
        <v>224</v>
      </c>
      <c r="G72" s="5">
        <v>46188</v>
      </c>
    </row>
    <row r="73" spans="1:7" x14ac:dyDescent="0.25">
      <c r="A73" t="s">
        <v>19</v>
      </c>
      <c r="B73" t="s">
        <v>14</v>
      </c>
      <c r="C73" t="s">
        <v>11</v>
      </c>
      <c r="D73">
        <v>41</v>
      </c>
      <c r="E73" s="4">
        <v>39</v>
      </c>
      <c r="F73" s="4">
        <f>D73*E73</f>
        <v>1599</v>
      </c>
      <c r="G73" s="5">
        <v>46188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4" customWidth="1"/>
  </cols>
  <sheetData>
    <row r="1" spans="1:6" x14ac:dyDescent="0.25">
      <c r="A1" s="6" t="s">
        <v>1</v>
      </c>
      <c r="B1" s="7" t="s">
        <v>5</v>
      </c>
      <c r="C1" s="6" t="s">
        <v>3</v>
      </c>
      <c r="E1" t="s">
        <v>1</v>
      </c>
      <c r="F1" t="s">
        <v>3</v>
      </c>
    </row>
    <row r="2" spans="1:6" x14ac:dyDescent="0.25">
      <c r="A2" t="s">
        <v>8</v>
      </c>
      <c r="B2" s="8">
        <f>SUMIFS(Sales!F:F,Sales!B:B,A2)</f>
        <v>17950.5</v>
      </c>
      <c r="C2">
        <f>SUMIFS(Sales!D:D,Sales!B:B,A2)</f>
        <v>939</v>
      </c>
      <c r="E2" t="str">
        <f>A2</f>
        <v>North</v>
      </c>
      <c r="F2">
        <f>C2</f>
        <v>939</v>
      </c>
    </row>
    <row r="3" spans="1:6" x14ac:dyDescent="0.25">
      <c r="A3" t="s">
        <v>12</v>
      </c>
      <c r="B3" s="8">
        <f>SUMIFS(Sales!F:F,Sales!B:B,A3)</f>
        <v>17950.5</v>
      </c>
      <c r="C3">
        <f>SUMIFS(Sales!D:D,Sales!B:B,A3)</f>
        <v>939</v>
      </c>
      <c r="E3" t="str">
        <f>A3</f>
        <v>South</v>
      </c>
      <c r="F3">
        <f>C3</f>
        <v>939</v>
      </c>
    </row>
    <row r="4" spans="1:6" x14ac:dyDescent="0.25">
      <c r="A4" t="s">
        <v>13</v>
      </c>
      <c r="B4" s="8">
        <f>SUMIFS(Sales!F:F,Sales!B:B,A4)</f>
        <v>16915.5</v>
      </c>
      <c r="C4">
        <f>SUMIFS(Sales!D:D,Sales!B:B,A4)</f>
        <v>909</v>
      </c>
      <c r="E4" t="str">
        <f>A4</f>
        <v>East</v>
      </c>
      <c r="F4">
        <f>C4</f>
        <v>909</v>
      </c>
    </row>
    <row r="5" spans="1:6" x14ac:dyDescent="0.25">
      <c r="A5" t="s">
        <v>14</v>
      </c>
      <c r="B5" s="8">
        <f>SUMIFS(Sales!F:F,Sales!B:B,A5)</f>
        <v>16915.5</v>
      </c>
      <c r="C5">
        <f>SUMIFS(Sales!D:D,Sales!B:B,A5)</f>
        <v>909</v>
      </c>
      <c r="E5" t="str">
        <f>A5</f>
        <v>West</v>
      </c>
      <c r="F5">
        <f>C5</f>
        <v>909</v>
      </c>
    </row>
    <row r="6" spans="1:3" x14ac:dyDescent="0.25">
      <c r="A6" s="6" t="s">
        <v>20</v>
      </c>
      <c r="B6" s="7">
        <f>SUM(B2:B5)</f>
        <v>69732</v>
      </c>
      <c r="C6" s="6">
        <f>SUM(C2:C5)</f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Summary</vt:lpstr>
      <vt:lpstr>_opensheets_meta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 Sheets</dc:creator>
  <dc:title/>
  <dc:subject/>
  <dc:description/>
  <cp:keywords/>
  <cp:category/>
  <cp:lastModifiedBy>Unknown</cp:lastModifiedBy>
  <dcterms:created xsi:type="dcterms:W3CDTF">2026-10-27T07:37:00Z</dcterms:created>
  <dcterms:modified xsi:type="dcterms:W3CDTF">2026-10-27T07:37:00Z</dcterms:modified>
</cp:coreProperties>
</file>